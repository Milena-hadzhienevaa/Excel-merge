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SBG015\Engineering\Temp\Niki\"/>
    </mc:Choice>
  </mc:AlternateContent>
  <xr:revisionPtr revIDLastSave="0" documentId="13_ncr:1_{599DD5F5-A550-422D-9950-12F963C053EC}" xr6:coauthVersionLast="47" xr6:coauthVersionMax="47" xr10:uidLastSave="{00000000-0000-0000-0000-000000000000}"/>
  <bookViews>
    <workbookView xWindow="-120" yWindow="-120" windowWidth="29040" windowHeight="15720" xr2:uid="{C84FAE16-DD01-45A7-A414-24DF74737B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1" l="1"/>
  <c r="C17" i="1"/>
  <c r="B17" i="1"/>
  <c r="C16" i="1"/>
  <c r="E16" i="1" s="1"/>
  <c r="G15" i="1"/>
  <c r="H15" i="1" s="1"/>
  <c r="E15" i="1"/>
  <c r="C15" i="1"/>
  <c r="C14" i="1"/>
  <c r="E14" i="1" s="1"/>
  <c r="G13" i="1"/>
  <c r="H13" i="1" s="1"/>
  <c r="E13" i="1"/>
  <c r="C13" i="1"/>
  <c r="C12" i="1"/>
  <c r="E12" i="1" s="1"/>
  <c r="E11" i="1"/>
  <c r="G11" i="1" s="1"/>
  <c r="H11" i="1" s="1"/>
  <c r="C11" i="1"/>
  <c r="B10" i="1"/>
  <c r="C10" i="1" s="1"/>
  <c r="E10" i="1" s="1"/>
  <c r="C9" i="1"/>
  <c r="E9" i="1" s="1"/>
  <c r="C8" i="1"/>
  <c r="E8" i="1" s="1"/>
  <c r="C7" i="1"/>
  <c r="E7" i="1" s="1"/>
  <c r="B6" i="1"/>
  <c r="C6" i="1" s="1"/>
  <c r="E6" i="1" s="1"/>
  <c r="C5" i="1"/>
  <c r="E5" i="1" s="1"/>
  <c r="C4" i="1"/>
  <c r="E4" i="1" s="1"/>
  <c r="C3" i="1"/>
  <c r="E3" i="1" s="1"/>
  <c r="C2" i="1"/>
  <c r="E2" i="1" s="1"/>
  <c r="G17" i="1" l="1"/>
  <c r="H17" i="1" s="1"/>
  <c r="G10" i="1"/>
  <c r="H10" i="1" s="1"/>
  <c r="G3" i="1"/>
  <c r="H3" i="1" s="1"/>
  <c r="G16" i="1"/>
  <c r="H16" i="1" s="1"/>
  <c r="G8" i="1"/>
  <c r="H8" i="1" s="1"/>
  <c r="G2" i="1"/>
  <c r="H2" i="1" s="1"/>
  <c r="G14" i="1"/>
  <c r="H14" i="1" s="1"/>
  <c r="G4" i="1"/>
  <c r="H4" i="1"/>
  <c r="G5" i="1"/>
  <c r="H5" i="1" s="1"/>
  <c r="G6" i="1"/>
  <c r="H6" i="1" s="1"/>
  <c r="G12" i="1"/>
  <c r="H12" i="1" s="1"/>
  <c r="G7" i="1"/>
  <c r="H7" i="1"/>
  <c r="G9" i="1"/>
  <c r="H9" i="1" s="1"/>
</calcChain>
</file>

<file path=xl/sharedStrings.xml><?xml version="1.0" encoding="utf-8"?>
<sst xmlns="http://schemas.openxmlformats.org/spreadsheetml/2006/main" count="35" uniqueCount="29">
  <si>
    <t>Month</t>
  </si>
  <si>
    <t>Working days</t>
  </si>
  <si>
    <t>Hours</t>
  </si>
  <si>
    <t>Headcount</t>
  </si>
  <si>
    <t>Total hrs</t>
  </si>
  <si>
    <t>PTO as %</t>
  </si>
  <si>
    <t>Hrs PTO</t>
  </si>
  <si>
    <t>Gross Hrs</t>
  </si>
  <si>
    <t>September 2025</t>
  </si>
  <si>
    <t>October 2025</t>
  </si>
  <si>
    <t>November 2025</t>
  </si>
  <si>
    <t>December 2025</t>
  </si>
  <si>
    <t>January 2026</t>
  </si>
  <si>
    <t>February 2026</t>
  </si>
  <si>
    <t>March 2026</t>
  </si>
  <si>
    <t>April 2026</t>
  </si>
  <si>
    <t>May 2026</t>
  </si>
  <si>
    <t>June 2026</t>
  </si>
  <si>
    <t>July 2026</t>
  </si>
  <si>
    <t>August 2026</t>
  </si>
  <si>
    <t>September 2026</t>
  </si>
  <si>
    <t>October 2026</t>
  </si>
  <si>
    <t>November 2026</t>
  </si>
  <si>
    <t>December 2026</t>
  </si>
  <si>
    <t>(hours)</t>
  </si>
  <si>
    <t>Backlog</t>
  </si>
  <si>
    <t>Forecast 12/03/2026</t>
  </si>
  <si>
    <t>*Capacity</t>
  </si>
  <si>
    <t>Efficiency (forecast vs capacity)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</si>
</sst>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rgb="FF00B050"/>
      <name val="Aptos Narrow"/>
      <family val="2"/>
      <scheme val="minor"/>
    </font>
    <font>
      <b/>
      <sz val="11"/>
      <color rgb="FF00B050"/>
      <name val="Aptos Narrow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0" borderId="5" xfId="0" applyBorder="1"/>
    <xf numFmtId="43" fontId="0" fillId="0" borderId="5" xfId="1" applyFont="1" applyBorder="1"/>
    <xf numFmtId="9" fontId="0" fillId="0" borderId="5" xfId="0" applyNumberFormat="1" applyBorder="1"/>
    <xf numFmtId="43" fontId="0" fillId="3" borderId="5" xfId="1" applyFont="1" applyFill="1" applyBorder="1"/>
    <xf numFmtId="1" fontId="0" fillId="0" borderId="5" xfId="0" applyNumberFormat="1" applyBorder="1"/>
    <xf numFmtId="10" fontId="0" fillId="0" borderId="5" xfId="0" applyNumberFormat="1" applyBorder="1"/>
    <xf numFmtId="0" fontId="3" fillId="0" borderId="4" xfId="0" applyFont="1" applyBorder="1"/>
    <xf numFmtId="43" fontId="4" fillId="2" borderId="6" xfId="1" applyFont="1" applyFill="1" applyBorder="1"/>
  </cellXfs>
  <cellStyles count="2">
    <cellStyle name="Comma" xfId="1" builtinId="3"/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Aptos Narrow"/>
        <family val="2"/>
        <charset val="204"/>
        <scheme val="minor"/>
      </font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00B050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3" formatCode="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BED3FF-BCAB-447E-8BED-075217B6F516}" name="Table2" displayName="Table2" ref="A1:H17" totalsRowShown="0" headerRowDxfId="11" headerRowBorderDxfId="10" tableBorderDxfId="9" totalsRowBorderDxfId="8">
  <autoFilter ref="A1:H17" xr:uid="{1CBED3FF-BCAB-447E-8BED-075217B6F516}"/>
  <tableColumns count="8">
    <tableColumn id="1" xr3:uid="{37ECAAF7-0F28-486F-8F9D-1FBE9876F6FB}" name="Month" dataDxfId="2"/>
    <tableColumn id="2" xr3:uid="{D84B3F52-1BCC-4764-8B9F-8A64F14ADFE0}" name="Working days" dataDxfId="3"/>
    <tableColumn id="3" xr3:uid="{519C940A-E7EC-4267-A2EC-13EEE8A82287}" name="Hours" dataDxfId="7">
      <calculatedColumnFormula>+B2*(8-0.66)</calculatedColumnFormula>
    </tableColumn>
    <tableColumn id="4" xr3:uid="{5864692E-6DEA-4342-B1B9-31A3BE5B4DDC}" name="Headcount" dataDxfId="6"/>
    <tableColumn id="5" xr3:uid="{13938D2A-A7CA-4928-BB36-5998D35BFACE}" name="Total hrs" dataDxfId="5">
      <calculatedColumnFormula>+C2*D2</calculatedColumnFormula>
    </tableColumn>
    <tableColumn id="6" xr3:uid="{AFA58BB1-E08B-4636-8BF8-52739E57A800}" name="PTO as %" dataDxfId="4"/>
    <tableColumn id="7" xr3:uid="{D85A8F5D-B5BA-4860-AFD3-74B95BC9CAF1}" name="Hrs PTO" dataDxfId="1">
      <calculatedColumnFormula>+E2*F2</calculatedColumnFormula>
    </tableColumn>
    <tableColumn id="8" xr3:uid="{95A198EB-F5C2-4F7C-A1C7-20E7048E535C}" name="Gross Hrs" dataDxfId="0">
      <calculatedColumnFormula>+E2-G2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984D6-AC25-46E2-98DD-0FB3398B24A3}">
  <dimension ref="A1:H27"/>
  <sheetViews>
    <sheetView tabSelected="1" workbookViewId="0">
      <selection activeCell="J26" sqref="J25:J26"/>
    </sheetView>
  </sheetViews>
  <sheetFormatPr defaultRowHeight="15" x14ac:dyDescent="0.25"/>
  <cols>
    <col min="1" max="1" width="14.85546875" bestFit="1" customWidth="1"/>
    <col min="2" max="2" width="17.7109375" bestFit="1" customWidth="1"/>
    <col min="3" max="3" width="11" bestFit="1" customWidth="1"/>
    <col min="4" max="4" width="15.42578125" bestFit="1" customWidth="1"/>
    <col min="5" max="5" width="13.28515625" bestFit="1" customWidth="1"/>
    <col min="6" max="6" width="13.5703125" bestFit="1" customWidth="1"/>
    <col min="7" max="7" width="12.7109375" bestFit="1" customWidth="1"/>
    <col min="8" max="8" width="14.42578125" bestFit="1" customWidth="1"/>
  </cols>
  <sheetData>
    <row r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25">
      <c r="A2" s="10" t="s">
        <v>8</v>
      </c>
      <c r="B2" s="4">
        <v>20</v>
      </c>
      <c r="C2" s="4">
        <f t="shared" ref="C2:C8" si="0">+B2*(8-0.66)</f>
        <v>146.80000000000001</v>
      </c>
      <c r="D2" s="4">
        <v>73</v>
      </c>
      <c r="E2" s="5">
        <f t="shared" ref="E2:E17" si="1">+C2*D2</f>
        <v>10716.400000000001</v>
      </c>
      <c r="F2" s="6">
        <v>0.09</v>
      </c>
      <c r="G2" s="7">
        <f t="shared" ref="G2:G17" si="2">+E2*F2</f>
        <v>964.47600000000011</v>
      </c>
      <c r="H2" s="11">
        <f t="shared" ref="H2:H17" si="3">+E2-G2</f>
        <v>9751.9240000000009</v>
      </c>
    </row>
    <row r="3" spans="1:8" x14ac:dyDescent="0.25">
      <c r="A3" s="10" t="s">
        <v>9</v>
      </c>
      <c r="B3" s="4">
        <v>23</v>
      </c>
      <c r="C3" s="4">
        <f t="shared" si="0"/>
        <v>168.82</v>
      </c>
      <c r="D3" s="4">
        <v>73</v>
      </c>
      <c r="E3" s="5">
        <f t="shared" si="1"/>
        <v>12323.859999999999</v>
      </c>
      <c r="F3" s="6">
        <v>0.09</v>
      </c>
      <c r="G3" s="7">
        <f t="shared" si="2"/>
        <v>1109.1473999999998</v>
      </c>
      <c r="H3" s="11">
        <f t="shared" si="3"/>
        <v>11214.712599999999</v>
      </c>
    </row>
    <row r="4" spans="1:8" x14ac:dyDescent="0.25">
      <c r="A4" s="10" t="s">
        <v>10</v>
      </c>
      <c r="B4" s="4">
        <v>20</v>
      </c>
      <c r="C4" s="4">
        <f t="shared" si="0"/>
        <v>146.80000000000001</v>
      </c>
      <c r="D4" s="4">
        <v>73</v>
      </c>
      <c r="E4" s="5">
        <f t="shared" si="1"/>
        <v>10716.400000000001</v>
      </c>
      <c r="F4" s="6">
        <v>0.05</v>
      </c>
      <c r="G4" s="7">
        <f t="shared" si="2"/>
        <v>535.82000000000005</v>
      </c>
      <c r="H4" s="11">
        <f t="shared" si="3"/>
        <v>10180.580000000002</v>
      </c>
    </row>
    <row r="5" spans="1:8" x14ac:dyDescent="0.25">
      <c r="A5" s="10" t="s">
        <v>11</v>
      </c>
      <c r="B5" s="4">
        <v>15</v>
      </c>
      <c r="C5" s="4">
        <f t="shared" si="0"/>
        <v>110.1</v>
      </c>
      <c r="D5" s="4">
        <v>73</v>
      </c>
      <c r="E5" s="5">
        <f t="shared" si="1"/>
        <v>8037.2999999999993</v>
      </c>
      <c r="F5" s="6">
        <v>0.09</v>
      </c>
      <c r="G5" s="7">
        <f t="shared" si="2"/>
        <v>723.35699999999986</v>
      </c>
      <c r="H5" s="11">
        <f t="shared" si="3"/>
        <v>7313.9429999999993</v>
      </c>
    </row>
    <row r="6" spans="1:8" x14ac:dyDescent="0.25">
      <c r="A6" s="10" t="s">
        <v>12</v>
      </c>
      <c r="B6" s="4">
        <f>21-1</f>
        <v>20</v>
      </c>
      <c r="C6" s="4">
        <f t="shared" si="0"/>
        <v>146.80000000000001</v>
      </c>
      <c r="D6" s="4">
        <v>70</v>
      </c>
      <c r="E6" s="5">
        <f t="shared" si="1"/>
        <v>10276</v>
      </c>
      <c r="F6" s="6">
        <v>0.05</v>
      </c>
      <c r="G6" s="7">
        <f t="shared" si="2"/>
        <v>513.80000000000007</v>
      </c>
      <c r="H6" s="11">
        <f t="shared" si="3"/>
        <v>9762.2000000000007</v>
      </c>
    </row>
    <row r="7" spans="1:8" x14ac:dyDescent="0.25">
      <c r="A7" s="10" t="s">
        <v>13</v>
      </c>
      <c r="B7" s="4">
        <v>20</v>
      </c>
      <c r="C7" s="4">
        <f t="shared" si="0"/>
        <v>146.80000000000001</v>
      </c>
      <c r="D7" s="4">
        <v>69</v>
      </c>
      <c r="E7" s="5">
        <f t="shared" si="1"/>
        <v>10129.200000000001</v>
      </c>
      <c r="F7" s="6">
        <v>0.05</v>
      </c>
      <c r="G7" s="7">
        <f t="shared" si="2"/>
        <v>506.46000000000004</v>
      </c>
      <c r="H7" s="11">
        <f t="shared" si="3"/>
        <v>9622.7400000000016</v>
      </c>
    </row>
    <row r="8" spans="1:8" x14ac:dyDescent="0.25">
      <c r="A8" s="10" t="s">
        <v>14</v>
      </c>
      <c r="B8" s="4">
        <v>20</v>
      </c>
      <c r="C8" s="4">
        <f t="shared" si="0"/>
        <v>146.80000000000001</v>
      </c>
      <c r="D8" s="4">
        <v>61</v>
      </c>
      <c r="E8" s="5">
        <f t="shared" si="1"/>
        <v>8954.8000000000011</v>
      </c>
      <c r="F8" s="6">
        <v>0.05</v>
      </c>
      <c r="G8" s="7">
        <f t="shared" si="2"/>
        <v>447.74000000000007</v>
      </c>
      <c r="H8" s="11">
        <f t="shared" si="3"/>
        <v>8507.0600000000013</v>
      </c>
    </row>
    <row r="9" spans="1:8" x14ac:dyDescent="0.25">
      <c r="A9" s="10" t="s">
        <v>15</v>
      </c>
      <c r="B9" s="4">
        <v>20</v>
      </c>
      <c r="C9" s="4">
        <f>+B9*(8-0.66+15/60)</f>
        <v>151.80000000000001</v>
      </c>
      <c r="D9" s="4">
        <v>61</v>
      </c>
      <c r="E9" s="5">
        <f t="shared" si="1"/>
        <v>9259.8000000000011</v>
      </c>
      <c r="F9" s="6">
        <v>0.05</v>
      </c>
      <c r="G9" s="7">
        <f t="shared" si="2"/>
        <v>462.99000000000007</v>
      </c>
      <c r="H9" s="11">
        <f t="shared" si="3"/>
        <v>8796.8100000000013</v>
      </c>
    </row>
    <row r="10" spans="1:8" x14ac:dyDescent="0.25">
      <c r="A10" s="10" t="s">
        <v>16</v>
      </c>
      <c r="B10" s="4">
        <f>18-3</f>
        <v>15</v>
      </c>
      <c r="C10" s="4">
        <f t="shared" ref="C10:C17" si="4">+B10*(8-0.66+15/60)</f>
        <v>113.85</v>
      </c>
      <c r="D10" s="4">
        <v>61</v>
      </c>
      <c r="E10" s="5">
        <f t="shared" si="1"/>
        <v>6944.8499999999995</v>
      </c>
      <c r="F10" s="6">
        <v>0.05</v>
      </c>
      <c r="G10" s="7">
        <f t="shared" si="2"/>
        <v>347.24250000000001</v>
      </c>
      <c r="H10" s="11">
        <f t="shared" si="3"/>
        <v>6597.6074999999992</v>
      </c>
    </row>
    <row r="11" spans="1:8" x14ac:dyDescent="0.25">
      <c r="A11" s="10" t="s">
        <v>17</v>
      </c>
      <c r="B11" s="4">
        <v>22</v>
      </c>
      <c r="C11" s="4">
        <f t="shared" si="4"/>
        <v>166.98</v>
      </c>
      <c r="D11" s="4">
        <v>61</v>
      </c>
      <c r="E11" s="5">
        <f t="shared" si="1"/>
        <v>10185.779999999999</v>
      </c>
      <c r="F11" s="6">
        <v>0.05</v>
      </c>
      <c r="G11" s="7">
        <f t="shared" si="2"/>
        <v>509.28899999999999</v>
      </c>
      <c r="H11" s="11">
        <f t="shared" si="3"/>
        <v>9676.4909999999982</v>
      </c>
    </row>
    <row r="12" spans="1:8" x14ac:dyDescent="0.25">
      <c r="A12" s="10" t="s">
        <v>18</v>
      </c>
      <c r="B12" s="4">
        <v>23</v>
      </c>
      <c r="C12" s="4">
        <f t="shared" si="4"/>
        <v>174.57</v>
      </c>
      <c r="D12" s="4">
        <v>61</v>
      </c>
      <c r="E12" s="5">
        <f t="shared" si="1"/>
        <v>10648.77</v>
      </c>
      <c r="F12" s="6">
        <v>0.05</v>
      </c>
      <c r="G12" s="7">
        <f t="shared" si="2"/>
        <v>532.43850000000009</v>
      </c>
      <c r="H12" s="11">
        <f t="shared" si="3"/>
        <v>10116.3315</v>
      </c>
    </row>
    <row r="13" spans="1:8" x14ac:dyDescent="0.25">
      <c r="A13" s="10" t="s">
        <v>19</v>
      </c>
      <c r="B13" s="4">
        <v>21</v>
      </c>
      <c r="C13" s="4">
        <f t="shared" si="4"/>
        <v>159.38999999999999</v>
      </c>
      <c r="D13" s="4">
        <v>61</v>
      </c>
      <c r="E13" s="5">
        <f t="shared" si="1"/>
        <v>9722.7899999999991</v>
      </c>
      <c r="F13" s="6">
        <v>0.05</v>
      </c>
      <c r="G13" s="7">
        <f t="shared" si="2"/>
        <v>486.1395</v>
      </c>
      <c r="H13" s="11">
        <f t="shared" si="3"/>
        <v>9236.6504999999997</v>
      </c>
    </row>
    <row r="14" spans="1:8" x14ac:dyDescent="0.25">
      <c r="A14" s="10" t="s">
        <v>20</v>
      </c>
      <c r="B14" s="4">
        <v>20</v>
      </c>
      <c r="C14" s="4">
        <f t="shared" si="4"/>
        <v>151.80000000000001</v>
      </c>
      <c r="D14" s="4">
        <v>61</v>
      </c>
      <c r="E14" s="5">
        <f t="shared" si="1"/>
        <v>9259.8000000000011</v>
      </c>
      <c r="F14" s="6">
        <v>0.05</v>
      </c>
      <c r="G14" s="7">
        <f t="shared" si="2"/>
        <v>462.99000000000007</v>
      </c>
      <c r="H14" s="11">
        <f t="shared" si="3"/>
        <v>8796.8100000000013</v>
      </c>
    </row>
    <row r="15" spans="1:8" x14ac:dyDescent="0.25">
      <c r="A15" s="10" t="s">
        <v>21</v>
      </c>
      <c r="B15" s="4">
        <v>22</v>
      </c>
      <c r="C15" s="4">
        <f t="shared" si="4"/>
        <v>166.98</v>
      </c>
      <c r="D15" s="4">
        <v>61</v>
      </c>
      <c r="E15" s="5">
        <f t="shared" si="1"/>
        <v>10185.779999999999</v>
      </c>
      <c r="F15" s="6">
        <v>0.05</v>
      </c>
      <c r="G15" s="7">
        <f t="shared" si="2"/>
        <v>509.28899999999999</v>
      </c>
      <c r="H15" s="11">
        <f t="shared" si="3"/>
        <v>9676.4909999999982</v>
      </c>
    </row>
    <row r="16" spans="1:8" x14ac:dyDescent="0.25">
      <c r="A16" s="10" t="s">
        <v>22</v>
      </c>
      <c r="B16" s="4">
        <v>21</v>
      </c>
      <c r="C16" s="4">
        <f t="shared" si="4"/>
        <v>159.38999999999999</v>
      </c>
      <c r="D16" s="4">
        <v>61</v>
      </c>
      <c r="E16" s="5">
        <f t="shared" si="1"/>
        <v>9722.7899999999991</v>
      </c>
      <c r="F16" s="6">
        <v>0.05</v>
      </c>
      <c r="G16" s="7">
        <f t="shared" si="2"/>
        <v>486.1395</v>
      </c>
      <c r="H16" s="11">
        <f t="shared" si="3"/>
        <v>9236.6504999999997</v>
      </c>
    </row>
    <row r="17" spans="1:8" x14ac:dyDescent="0.25">
      <c r="A17" s="10" t="s">
        <v>23</v>
      </c>
      <c r="B17" s="4">
        <f>20-5</f>
        <v>15</v>
      </c>
      <c r="C17" s="4">
        <f t="shared" si="4"/>
        <v>113.85</v>
      </c>
      <c r="D17" s="4">
        <v>61</v>
      </c>
      <c r="E17" s="5">
        <f t="shared" si="1"/>
        <v>6944.8499999999995</v>
      </c>
      <c r="F17" s="6">
        <v>0.05</v>
      </c>
      <c r="G17" s="7">
        <f t="shared" si="2"/>
        <v>347.24250000000001</v>
      </c>
      <c r="H17" s="11">
        <f t="shared" si="3"/>
        <v>6597.6074999999992</v>
      </c>
    </row>
    <row r="23" spans="1:8" x14ac:dyDescent="0.25">
      <c r="A23" s="4" t="s">
        <v>24</v>
      </c>
      <c r="B23" s="4" t="s">
        <v>12</v>
      </c>
      <c r="C23" s="4" t="s">
        <v>13</v>
      </c>
      <c r="D23" s="4" t="s">
        <v>14</v>
      </c>
      <c r="E23" s="4" t="s">
        <v>15</v>
      </c>
      <c r="F23" s="4" t="s">
        <v>16</v>
      </c>
      <c r="G23" s="4" t="s">
        <v>17</v>
      </c>
    </row>
    <row r="24" spans="1:8" x14ac:dyDescent="0.25">
      <c r="A24" s="4" t="s">
        <v>25</v>
      </c>
      <c r="B24" s="8">
        <v>8289.6511649294916</v>
      </c>
      <c r="C24" s="8">
        <v>9163.1373034947883</v>
      </c>
      <c r="D24" s="8">
        <v>8658.3759730226848</v>
      </c>
      <c r="E24" s="8">
        <v>8647.9723813611199</v>
      </c>
      <c r="F24" s="8">
        <v>4233.8258896382558</v>
      </c>
      <c r="G24" s="8">
        <v>2404.0917106069883</v>
      </c>
    </row>
    <row r="25" spans="1:8" x14ac:dyDescent="0.25">
      <c r="A25" s="4" t="s">
        <v>26</v>
      </c>
      <c r="B25" s="8">
        <v>10169.038887798903</v>
      </c>
      <c r="C25" s="8">
        <v>6876.4712985898213</v>
      </c>
      <c r="D25" s="8">
        <v>7812.4020012262381</v>
      </c>
      <c r="E25" s="8">
        <v>7013.8592544451212</v>
      </c>
      <c r="F25" s="8">
        <v>5927.7970754138487</v>
      </c>
      <c r="G25" s="8">
        <v>6327.1535524218198</v>
      </c>
    </row>
    <row r="26" spans="1:8" x14ac:dyDescent="0.25">
      <c r="A26" s="4" t="s">
        <v>27</v>
      </c>
      <c r="B26" s="8">
        <v>9762.2000000000007</v>
      </c>
      <c r="C26" s="8">
        <v>9622.7400000000016</v>
      </c>
      <c r="D26" s="8">
        <v>8507.0600000000013</v>
      </c>
      <c r="E26" s="8">
        <v>8796.8100000000013</v>
      </c>
      <c r="F26" s="8">
        <v>6597.6074999999992</v>
      </c>
      <c r="G26" s="8">
        <v>9676.4909999999982</v>
      </c>
    </row>
    <row r="27" spans="1:8" x14ac:dyDescent="0.25">
      <c r="A27" s="4" t="s">
        <v>28</v>
      </c>
      <c r="B27" s="9">
        <v>0.84915809601621473</v>
      </c>
      <c r="C27" s="9">
        <v>0.71460636976472602</v>
      </c>
      <c r="D27" s="9">
        <v>0.91834335260668631</v>
      </c>
      <c r="E27" s="9">
        <v>0.79731848868454813</v>
      </c>
      <c r="F27" s="9">
        <v>0.89847676986147618</v>
      </c>
      <c r="G27" s="9">
        <v>0.6538685926976856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Curtis Instruments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Altavanski, Stamen</dc:creator>
  <cp:lastModifiedBy>Altavanski, Stamen</cp:lastModifiedBy>
  <dcterms:created xsi:type="dcterms:W3CDTF">2026-04-14T10:44:43Z</dcterms:created>
  <dcterms:modified xsi:type="dcterms:W3CDTF">2026-04-16T13:04:51Z</dcterms:modified>
</cp:coreProperties>
</file>